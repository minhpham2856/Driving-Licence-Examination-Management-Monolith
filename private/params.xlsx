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<sst xmlns="http://schemas.openxmlformats.org/spreadsheetml/2006/main" count="88" uniqueCount="62">
  <si>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Item</t>
  </si>
  <si>
    <t>Failed</t>
  </si>
  <si>
    <t>Normal Cases</t>
  </si>
  <si>
    <t>Best Case</t>
  </si>
  <si>
    <t>Notes</t>
  </si>
  <si>
    <t>No of screens/functions</t>
  </si>
  <si>
    <t>Tổng số screens/functions hoàn thiện đủ happy cases</t>
  </si>
  <si>
    <t xml:space="preserve">Maximum LOC (C) </t>
  </si>
  <si>
    <t>Số LOC quy đổi (L2-3-4 = 33%, 33%, 33%)</t>
  </si>
  <si>
    <t>Quality Level (Q)</t>
  </si>
  <si>
    <t>Chất lượng màn hình/chức năng**</t>
  </si>
  <si>
    <t>Evaluated LOC</t>
  </si>
  <si>
    <t>Số LOC đạt được (LOC = C*Q)</t>
  </si>
  <si>
    <t>LOC Grade (LG)</t>
  </si>
  <si>
    <t>Tỷ trọng điểm LOC</t>
  </si>
  <si>
    <t>Non-LOC Grade (Pkg)</t>
  </si>
  <si>
    <t>Tỷ trọng điểm quy trình, material liên quan..</t>
  </si>
  <si>
    <t>ĐIỂM ĐÁNH GIÁ (/10)</t>
  </si>
  <si>
    <t>Converted LOC (for each of the complexity levels)</t>
  </si>
  <si>
    <t>Complexity Level</t>
  </si>
  <si>
    <t>Level 1</t>
  </si>
  <si>
    <t>Level 2</t>
  </si>
  <si>
    <t>Level 3</t>
  </si>
  <si>
    <t>Level 4</t>
  </si>
  <si>
    <t>Level 5</t>
  </si>
  <si>
    <t>Level 6</t>
  </si>
  <si>
    <t>Level 7</t>
  </si>
  <si>
    <t>Level</t>
  </si>
  <si>
    <t>Fields</t>
  </si>
  <si>
    <t>Trans*</t>
  </si>
  <si>
    <t>LOC</t>
  </si>
  <si>
    <t>Converted LOC</t>
  </si>
  <si>
    <t>3-5</t>
  </si>
  <si>
    <t>6-7</t>
  </si>
  <si>
    <t>Screen/Function Complexity Levels</t>
  </si>
  <si>
    <t>8-9</t>
  </si>
  <si>
    <t>Screen complexity can be defined based on the screen's fields OR screen/function's transactions</t>
  </si>
  <si>
    <t>10-11</t>
  </si>
  <si>
    <t>- Transactions can be counted as number of transactions to the database or external systems/subsystems</t>
  </si>
  <si>
    <t>12-13</t>
  </si>
  <si>
    <t>- Fields are screen's actionable components or database table fields; if there are some transactions those are</t>
  </si>
  <si>
    <t>14-15</t>
  </si>
  <si>
    <t xml:space="preserve">  not "related" to any fields, each of those transactions are counted as two fields and add those extra number </t>
  </si>
  <si>
    <t>&gt;15</t>
  </si>
  <si>
    <t>&gt;7</t>
  </si>
  <si>
    <t xml:space="preserve">  to the total number of fields to define the screen/function complexity</t>
  </si>
  <si>
    <t>*One trans (transactions) = Two fields (actionable screen components)</t>
  </si>
  <si>
    <t>No of transactions 
(to database, external,..)</t>
  </si>
  <si>
    <t>One transaction can be converted as two actionable fields</t>
  </si>
  <si>
    <t>OR: no of fields</t>
  </si>
  <si>
    <t>Screen/Function Quality Levels &amp; LOC Evaluation Rate</t>
  </si>
  <si>
    <t>Rate</t>
  </si>
  <si>
    <t>L1_Happy Cases</t>
  </si>
  <si>
    <t>The screen/function is workable, all happy cases are included</t>
  </si>
  <si>
    <t>L2_All Cases</t>
  </si>
  <si>
    <t>The screen/function is workable with both happy and unhappy cases included</t>
  </si>
  <si>
    <t>L3_Optimized</t>
  </si>
  <si>
    <t>All happy &amp; unhappy cases included + the function/screen is optimized in term of UX and
and business logics (suitability to real-world use cases)</t>
  </si>
  <si>
    <t>Some samples of screen complexity defining are as following</t>
  </si>
  <si>
    <t>Sample #1</t>
  </si>
  <si>
    <t>Sample #2</t>
  </si>
  <si>
    <t>Sample 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</si>
</sst>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_-* #,##0.0_-;\-* #,##0.0_-;_-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" fillId="0" borderId="0"/>
    <xf numFmtId="178" fontId="1" fillId="0" borderId="0" applyFont="0" applyFill="0" applyBorder="0" applyAlignment="0" applyProtection="0"/>
  </cellStyleXfs>
  <cellXfs count="53">
    <xf numFmtId="0" fontId="0" fillId="0" borderId="0" xfId="0">
      <alignment vertical="center"/>
    </xf>
    <xf numFmtId="0" fontId="1" fillId="0" borderId="0" xfId="49"/>
    <xf numFmtId="0" fontId="2" fillId="2" borderId="1" xfId="49" applyFont="1" applyFill="1" applyBorder="1"/>
    <xf numFmtId="0" fontId="2" fillId="2" borderId="2" xfId="49" applyFont="1" applyFill="1" applyBorder="1"/>
    <xf numFmtId="0" fontId="2" fillId="2" borderId="2" xfId="49" applyFont="1" applyFill="1" applyBorder="1" applyAlignment="1">
      <alignment horizontal="center"/>
    </xf>
    <xf numFmtId="0" fontId="2" fillId="2" borderId="2" xfId="49" applyFont="1" applyFill="1" applyBorder="1" applyAlignment="1">
      <alignment horizontal="left"/>
    </xf>
    <xf numFmtId="0" fontId="2" fillId="2" borderId="3" xfId="49" applyFont="1" applyFill="1" applyBorder="1" applyAlignment="1">
      <alignment horizontal="left"/>
    </xf>
    <xf numFmtId="0" fontId="1" fillId="3" borderId="4" xfId="49" applyFill="1" applyBorder="1"/>
    <xf numFmtId="0" fontId="1" fillId="0" borderId="5" xfId="49" applyBorder="1"/>
    <xf numFmtId="0" fontId="1" fillId="0" borderId="5" xfId="49" applyBorder="1" applyAlignment="1">
      <alignment horizontal="left"/>
    </xf>
    <xf numFmtId="0" fontId="1" fillId="0" borderId="6" xfId="49" applyBorder="1" applyAlignment="1">
      <alignment horizontal="left"/>
    </xf>
    <xf numFmtId="0" fontId="1" fillId="3" borderId="5" xfId="49" applyFill="1" applyBorder="1"/>
    <xf numFmtId="9" fontId="1" fillId="0" borderId="5" xfId="49" applyNumberFormat="1" applyBorder="1"/>
    <xf numFmtId="179" fontId="0" fillId="3" borderId="5" xfId="50" applyNumberFormat="1" applyFont="1" applyFill="1" applyBorder="1"/>
    <xf numFmtId="9" fontId="1" fillId="0" borderId="5" xfId="49" applyNumberFormat="1" applyBorder="1" applyAlignment="1">
      <alignment horizontal="center"/>
    </xf>
    <xf numFmtId="179" fontId="0" fillId="0" borderId="5" xfId="50" applyNumberFormat="1" applyFont="1" applyBorder="1" applyAlignment="1">
      <alignment horizontal="left"/>
    </xf>
    <xf numFmtId="179" fontId="0" fillId="0" borderId="6" xfId="50" applyNumberFormat="1" applyFont="1" applyBorder="1" applyAlignment="1">
      <alignment horizontal="left"/>
    </xf>
    <xf numFmtId="0" fontId="1" fillId="3" borderId="7" xfId="49" applyFill="1" applyBorder="1"/>
    <xf numFmtId="0" fontId="1" fillId="3" borderId="8" xfId="49" applyFill="1" applyBorder="1"/>
    <xf numFmtId="9" fontId="1" fillId="0" borderId="8" xfId="49" applyNumberFormat="1" applyBorder="1" applyAlignment="1">
      <alignment horizontal="center"/>
    </xf>
    <xf numFmtId="0" fontId="1" fillId="0" borderId="8" xfId="49" applyBorder="1" applyAlignment="1">
      <alignment horizontal="left"/>
    </xf>
    <xf numFmtId="0" fontId="1" fillId="0" borderId="9" xfId="49" applyBorder="1" applyAlignment="1">
      <alignment horizontal="left"/>
    </xf>
    <xf numFmtId="0" fontId="2" fillId="0" borderId="0" xfId="49" applyFont="1" applyFill="1" applyBorder="1" applyAlignment="1">
      <alignment horizontal="right"/>
    </xf>
    <xf numFmtId="179" fontId="2" fillId="0" borderId="0" xfId="49" applyNumberFormat="1" applyFont="1"/>
    <xf numFmtId="0" fontId="2" fillId="0" borderId="0" xfId="49" applyFont="1"/>
    <xf numFmtId="178" fontId="1" fillId="0" borderId="0" xfId="49" applyNumberFormat="1"/>
    <xf numFmtId="0" fontId="3" fillId="0" borderId="0" xfId="49" applyFont="1" applyAlignment="1">
      <alignment horizontal="left"/>
    </xf>
    <xf numFmtId="0" fontId="4" fillId="2" borderId="5" xfId="49" applyFont="1" applyFill="1" applyBorder="1" applyAlignment="1">
      <alignment horizontal="right"/>
    </xf>
    <xf numFmtId="0" fontId="4" fillId="2" borderId="5" xfId="49" applyFont="1" applyFill="1" applyBorder="1"/>
    <xf numFmtId="0" fontId="4" fillId="2" borderId="5" xfId="49" applyFont="1" applyFill="1" applyBorder="1" applyAlignment="1">
      <alignment horizontal="center" vertical="center" wrapText="1"/>
    </xf>
    <xf numFmtId="0" fontId="4" fillId="2" borderId="5" xfId="49" applyFont="1" applyFill="1" applyBorder="1" applyAlignment="1">
      <alignment horizontal="left" vertical="center" wrapText="1"/>
    </xf>
    <xf numFmtId="0" fontId="4" fillId="2" borderId="5" xfId="49" applyFont="1" applyFill="1" applyBorder="1" applyAlignment="1">
      <alignment horizontal="left" vertical="top" wrapText="1"/>
    </xf>
    <xf numFmtId="0" fontId="1" fillId="3" borderId="5" xfId="49" applyFill="1" applyBorder="1" applyAlignment="1">
      <alignment horizontal="right"/>
    </xf>
    <xf numFmtId="0" fontId="1" fillId="3" borderId="5" xfId="49" applyFont="1" applyFill="1" applyBorder="1" applyAlignment="1">
      <alignment horizontal="center"/>
    </xf>
    <xf numFmtId="0" fontId="1" fillId="4" borderId="5" xfId="49" applyFont="1" applyFill="1" applyBorder="1" applyAlignment="1">
      <alignment horizontal="center"/>
    </xf>
    <xf numFmtId="0" fontId="1" fillId="0" borderId="5" xfId="49" applyBorder="1" applyAlignment="1">
      <alignment horizontal="center"/>
    </xf>
    <xf numFmtId="0" fontId="1" fillId="0" borderId="5" xfId="49" applyBorder="1" applyAlignment="1">
      <alignment vertical="top"/>
    </xf>
    <xf numFmtId="0" fontId="1" fillId="0" borderId="5" xfId="49" applyBorder="1" applyAlignment="1">
      <alignment horizontal="center" vertical="top"/>
    </xf>
    <xf numFmtId="0" fontId="1" fillId="0" borderId="5" xfId="49" applyBorder="1" applyAlignment="1">
      <alignment horizontal="left" vertical="top"/>
    </xf>
    <xf numFmtId="0" fontId="1" fillId="0" borderId="0" xfId="49" applyFont="1" applyAlignment="1">
      <alignment horizontal="left"/>
    </xf>
    <xf numFmtId="0" fontId="1" fillId="0" borderId="5" xfId="49" applyFill="1" applyBorder="1" applyAlignment="1">
      <alignment horizontal="center" vertical="top"/>
    </xf>
    <xf numFmtId="0" fontId="1" fillId="0" borderId="0" xfId="49" applyAlignment="1">
      <alignment horizontal="left"/>
    </xf>
    <xf numFmtId="0" fontId="2" fillId="2" borderId="5" xfId="49" applyFont="1" applyFill="1" applyBorder="1" applyAlignment="1">
      <alignment horizontal="right"/>
    </xf>
    <xf numFmtId="0" fontId="1" fillId="0" borderId="5" xfId="49" applyFill="1" applyBorder="1" applyAlignment="1">
      <alignment horizontal="right" wrapText="1"/>
    </xf>
    <xf numFmtId="0" fontId="5" fillId="0" borderId="5" xfId="49" applyFont="1" applyBorder="1" applyAlignment="1">
      <alignment horizontal="center"/>
    </xf>
    <xf numFmtId="0" fontId="1" fillId="0" borderId="5" xfId="49" applyBorder="1" applyAlignment="1">
      <alignment horizontal="right"/>
    </xf>
    <xf numFmtId="16" fontId="1" fillId="0" borderId="5" xfId="49" applyNumberFormat="1" applyBorder="1" applyAlignment="1">
      <alignment horizontal="center"/>
    </xf>
    <xf numFmtId="0" fontId="4" fillId="2" borderId="5" xfId="49" applyFont="1" applyFill="1" applyBorder="1" applyAlignment="1">
      <alignment horizontal="left"/>
    </xf>
    <xf numFmtId="0" fontId="1" fillId="3" borderId="5" xfId="49" applyFill="1" applyBorder="1" applyAlignment="1">
      <alignment horizontal="right" vertical="top"/>
    </xf>
    <xf numFmtId="9" fontId="1" fillId="0" borderId="5" xfId="49" applyNumberFormat="1" applyBorder="1" applyAlignment="1">
      <alignment vertical="top"/>
    </xf>
    <xf numFmtId="0" fontId="1" fillId="0" borderId="5" xfId="49" applyBorder="1" applyAlignment="1">
      <alignment horizontal="left" vertical="top" wrapText="1"/>
    </xf>
    <xf numFmtId="0" fontId="3" fillId="0" borderId="0" xfId="49" applyFont="1" applyFill="1" applyBorder="1" applyAlignment="1">
      <alignment horizontal="left"/>
    </xf>
    <xf numFmtId="0" fontId="4" fillId="0" borderId="0" xfId="49" applyFont="1"/>
    <xf numFmtId="0" fontId="1" fillId="0" borderId="5" xfId="49" applyBorder="1" applyAlignment="1" quotePrefix="1">
      <alignment horizontal="center" vertical="top"/>
    </xf>
    <xf numFmtId="0" fontId="1" fillId="0" borderId="5" xfId="49" applyFill="1" applyBorder="1" applyAlignment="1" quotePrefix="1">
      <alignment horizontal="center" vertical="top"/>
    </xf>
    <xf numFmtId="0" fontId="1" fillId="0" borderId="0" xfId="49" applyAlignment="1" quotePrefix="1">
      <alignment horizontal="left"/>
    </xf>
    <xf numFmtId="0" fontId="1" fillId="0" borderId="0" xfId="49" applyFont="1" applyAlignment="1" quotePrefix="1">
      <alignment horizontal="left"/>
    </xf>
    <xf numFmtId="0" fontId="1" fillId="0" borderId="5" xfId="49" applyBorder="1" applyAlignment="1" quotePrefix="1">
      <alignment horizontal="center"/>
    </xf>
    <xf numFmtId="16" fontId="1" fillId="0" borderId="5" xfId="49" applyNumberFormat="1" applyBorder="1" applyAlignment="1" quotePrefix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  <cellStyle name="Comm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220345</xdr:colOff>
      <xdr:row>32</xdr:row>
      <xdr:rowOff>57151</xdr:rowOff>
    </xdr:from>
    <xdr:to>
      <xdr:col>8</xdr:col>
      <xdr:colOff>525780</xdr:colOff>
      <xdr:row>43</xdr:row>
      <xdr:rowOff>128906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345" y="6492240"/>
          <a:ext cx="5756275" cy="2167255"/>
        </a:xfrm>
        <a:prstGeom prst="rect">
          <a:avLst/>
        </a:prstGeom>
      </xdr:spPr>
    </xdr:pic>
    <xdr:clientData/>
  </xdr:twoCellAnchor>
  <xdr:twoCellAnchor editAs="oneCell">
    <xdr:from>
      <xdr:col>10</xdr:col>
      <xdr:colOff>34464</xdr:colOff>
      <xdr:row>32</xdr:row>
      <xdr:rowOff>9525</xdr:rowOff>
    </xdr:from>
    <xdr:to>
      <xdr:col>15</xdr:col>
      <xdr:colOff>862504</xdr:colOff>
      <xdr:row>50</xdr:row>
      <xdr:rowOff>14605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95440" y="6444615"/>
          <a:ext cx="3530600" cy="3434080"/>
        </a:xfrm>
        <a:prstGeom prst="rect">
          <a:avLst/>
        </a:prstGeom>
      </xdr:spPr>
    </xdr:pic>
    <xdr:clientData/>
  </xdr:twoCellAnchor>
  <xdr:twoCellAnchor editAs="oneCell">
    <xdr:from>
      <xdr:col>1</xdr:col>
      <xdr:colOff>24835</xdr:colOff>
      <xdr:row>45</xdr:row>
      <xdr:rowOff>9524</xdr:rowOff>
    </xdr:from>
    <xdr:to>
      <xdr:col>8</xdr:col>
      <xdr:colOff>333445</xdr:colOff>
      <xdr:row>70</xdr:row>
      <xdr:rowOff>151764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5110" y="8920480"/>
          <a:ext cx="5539105" cy="4904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5"/>
  <sheetViews>
    <sheetView tabSelected="1" workbookViewId="0">
      <selection activeCell="M9" sqref="M9"/>
    </sheetView>
  </sheetViews>
  <sheetFormatPr defaultColWidth="9.07619047619048" defaultRowHeight="15"/>
  <cols>
    <col min="1" max="1" width="3.3047619047619" style="1" customWidth="1"/>
    <col min="2" max="2" width="23.152380952381" style="1" customWidth="1"/>
    <col min="3" max="3" width="8.15238095238095" style="1" customWidth="1"/>
    <col min="4" max="4" width="10.152380952381" style="1" customWidth="1"/>
    <col min="5" max="5" width="9.22857142857143" style="1" customWidth="1"/>
    <col min="6" max="6" width="9.07619047619048" style="1"/>
    <col min="7" max="7" width="9.60952380952381" style="1" customWidth="1"/>
    <col min="8" max="12" width="9.07619047619048" style="1"/>
    <col min="13" max="13" width="6.84761904761905" style="1" customWidth="1"/>
    <col min="14" max="14" width="6.45714285714286" style="1" customWidth="1"/>
    <col min="15" max="15" width="9.07619047619048" style="1"/>
    <col min="16" max="16" width="18.2285714285714" style="1" customWidth="1"/>
    <col min="17" max="16384" width="9.07619047619048" style="1"/>
  </cols>
  <sheetData>
    <row r="1" s="1" customFormat="1" spans="2:16">
      <c r="B1" s="2" t="s">
        <v>0</v>
      </c>
      <c r="C1" s="3" t="s">
        <v>1</v>
      </c>
      <c r="D1" s="4" t="s">
        <v>2</v>
      </c>
      <c r="E1" s="4"/>
      <c r="F1" s="4"/>
      <c r="G1" s="3" t="s">
        <v>3</v>
      </c>
      <c r="H1" s="5" t="s">
        <v>4</v>
      </c>
      <c r="I1" s="5"/>
      <c r="J1" s="5"/>
      <c r="K1" s="5"/>
      <c r="L1" s="6"/>
    </row>
    <row r="2" s="1" customFormat="1" spans="2:16">
      <c r="B2" s="7" t="s">
        <v>5</v>
      </c>
      <c r="C2" s="8">
        <v>4</v>
      </c>
      <c r="D2" s="8">
        <v>5</v>
      </c>
      <c r="E2" s="8">
        <v>6</v>
      </c>
      <c r="F2" s="8">
        <v>7</v>
      </c>
      <c r="G2" s="8">
        <v>8</v>
      </c>
      <c r="H2" s="9" t="s">
        <v>6</v>
      </c>
      <c r="I2" s="9"/>
      <c r="J2" s="9"/>
      <c r="K2" s="9"/>
      <c r="L2" s="10"/>
    </row>
    <row r="3" s="1" customFormat="1" spans="2:16">
      <c r="B3" s="7" t="s">
        <v>7</v>
      </c>
      <c r="C3" s="11">
        <f t="shared" ref="C3:G3" si="0">C2*1/3*90+C2*1/3*120+C2*1/3*150</f>
        <v>480</v>
      </c>
      <c r="D3" s="11">
        <f t="shared" si="0"/>
        <v>600</v>
      </c>
      <c r="E3" s="11">
        <f t="shared" si="0"/>
        <v>720</v>
      </c>
      <c r="F3" s="11">
        <f t="shared" si="0"/>
        <v>840</v>
      </c>
      <c r="G3" s="11">
        <f t="shared" si="0"/>
        <v>960</v>
      </c>
      <c r="H3" s="9" t="s">
        <v>8</v>
      </c>
      <c r="I3" s="9"/>
      <c r="J3" s="9"/>
      <c r="K3" s="9"/>
      <c r="L3" s="10"/>
    </row>
    <row r="4" s="1" customFormat="1" spans="2:16">
      <c r="B4" s="7" t="s">
        <v>9</v>
      </c>
      <c r="C4" s="12">
        <v>0.5</v>
      </c>
      <c r="D4" s="12">
        <v>0.5</v>
      </c>
      <c r="E4" s="12">
        <v>0.75</v>
      </c>
      <c r="F4" s="12">
        <v>0.75</v>
      </c>
      <c r="G4" s="12">
        <v>0.75</v>
      </c>
      <c r="H4" s="9" t="s">
        <v>10</v>
      </c>
      <c r="I4" s="9"/>
      <c r="J4" s="9"/>
      <c r="K4" s="9"/>
      <c r="L4" s="10"/>
    </row>
    <row r="5" s="1" customFormat="1" spans="2:16">
      <c r="B5" s="7" t="s">
        <v>11</v>
      </c>
      <c r="C5" s="11">
        <f t="shared" ref="C5:G5" si="1">C3*C4</f>
        <v>240</v>
      </c>
      <c r="D5" s="11">
        <f t="shared" si="1"/>
        <v>300</v>
      </c>
      <c r="E5" s="11">
        <f t="shared" si="1"/>
        <v>540</v>
      </c>
      <c r="F5" s="11">
        <f t="shared" si="1"/>
        <v>630</v>
      </c>
      <c r="G5" s="11">
        <f t="shared" si="1"/>
        <v>720</v>
      </c>
      <c r="H5" s="9" t="s">
        <v>12</v>
      </c>
      <c r="I5" s="9"/>
      <c r="J5" s="9"/>
      <c r="K5" s="9"/>
      <c r="L5" s="10"/>
    </row>
    <row r="6" s="1" customFormat="1" spans="2:16">
      <c r="B6" s="7" t="s">
        <v>13</v>
      </c>
      <c r="C6" s="13">
        <f t="shared" ref="C6:G6" si="2">C5/660*10</f>
        <v>3.63636363636364</v>
      </c>
      <c r="D6" s="13">
        <f t="shared" si="2"/>
        <v>4.54545454545454</v>
      </c>
      <c r="E6" s="13">
        <f t="shared" si="2"/>
        <v>8.18181818181818</v>
      </c>
      <c r="F6" s="13">
        <f t="shared" si="2"/>
        <v>9.54545454545455</v>
      </c>
      <c r="G6" s="13">
        <f t="shared" si="2"/>
        <v>10.9090909090909</v>
      </c>
      <c r="H6" s="14">
        <v>0.7</v>
      </c>
      <c r="I6" s="15" t="s">
        <v>14</v>
      </c>
      <c r="J6" s="15"/>
      <c r="K6" s="15"/>
      <c r="L6" s="16"/>
    </row>
    <row r="7" s="1" customFormat="1" ht="15.75" spans="2:16">
      <c r="B7" s="17" t="s">
        <v>15</v>
      </c>
      <c r="C7" s="18">
        <v>6</v>
      </c>
      <c r="D7" s="18">
        <v>6</v>
      </c>
      <c r="E7" s="18">
        <v>7</v>
      </c>
      <c r="F7" s="18">
        <v>7</v>
      </c>
      <c r="G7" s="18">
        <v>8</v>
      </c>
      <c r="H7" s="19">
        <v>0.3</v>
      </c>
      <c r="I7" s="20" t="s">
        <v>16</v>
      </c>
      <c r="J7" s="20"/>
      <c r="K7" s="20"/>
      <c r="L7" s="21"/>
    </row>
    <row r="8" s="1" customFormat="1" spans="2:16">
      <c r="B8" s="22" t="s">
        <v>17</v>
      </c>
      <c r="C8" s="23">
        <f t="shared" ref="C8:G8" si="3">C6*$H$6+C7*$H$7</f>
        <v>4.34545454545455</v>
      </c>
      <c r="D8" s="23">
        <f t="shared" si="3"/>
        <v>4.98181818181818</v>
      </c>
      <c r="E8" s="23">
        <f t="shared" si="3"/>
        <v>7.82727272727273</v>
      </c>
      <c r="F8" s="23">
        <f t="shared" si="3"/>
        <v>8.78181818181818</v>
      </c>
      <c r="G8" s="23">
        <f t="shared" si="3"/>
        <v>10.0363636363636</v>
      </c>
      <c r="H8" s="23"/>
      <c r="I8" s="23"/>
    </row>
    <row r="9" s="1" customFormat="1" spans="2:16">
      <c r="B9" s="24"/>
      <c r="C9" s="25"/>
      <c r="D9" s="25"/>
      <c r="E9" s="25"/>
      <c r="F9" s="25"/>
      <c r="G9" s="25"/>
      <c r="H9" s="25"/>
      <c r="I9" s="25"/>
    </row>
    <row r="10" s="1" customFormat="1" ht="18.75" spans="2:16">
      <c r="B10" s="26" t="s">
        <v>18</v>
      </c>
    </row>
    <row r="11" s="1" customFormat="1" spans="2:16">
      <c r="B11" s="27" t="s">
        <v>19</v>
      </c>
      <c r="C11" s="28" t="s">
        <v>20</v>
      </c>
      <c r="D11" s="29" t="s">
        <v>21</v>
      </c>
      <c r="E11" s="29" t="s">
        <v>22</v>
      </c>
      <c r="F11" s="29" t="s">
        <v>23</v>
      </c>
      <c r="G11" s="29" t="s">
        <v>24</v>
      </c>
      <c r="H11" s="29" t="s">
        <v>25</v>
      </c>
      <c r="I11" s="29" t="s">
        <v>26</v>
      </c>
      <c r="K11" s="30" t="s">
        <v>27</v>
      </c>
      <c r="L11" s="30" t="s">
        <v>28</v>
      </c>
      <c r="M11" s="30" t="s">
        <v>29</v>
      </c>
      <c r="N11" s="30" t="s">
        <v>30</v>
      </c>
      <c r="O11" s="31" t="s">
        <v>4</v>
      </c>
      <c r="P11" s="31"/>
    </row>
    <row r="12" s="1" customFormat="1" spans="2:16">
      <c r="B12" s="32" t="s">
        <v>31</v>
      </c>
      <c r="C12" s="11">
        <v>60</v>
      </c>
      <c r="D12" s="33">
        <v>90</v>
      </c>
      <c r="E12" s="33">
        <v>120</v>
      </c>
      <c r="F12" s="33">
        <v>150</v>
      </c>
      <c r="G12" s="33">
        <v>180</v>
      </c>
      <c r="H12" s="34">
        <v>210</v>
      </c>
      <c r="I12" s="35">
        <v>240</v>
      </c>
      <c r="K12" s="36" t="s">
        <v>20</v>
      </c>
      <c r="L12" s="53" t="s">
        <v>32</v>
      </c>
      <c r="M12" s="37">
        <v>2</v>
      </c>
      <c r="N12" s="37">
        <v>60</v>
      </c>
      <c r="O12" s="38" t="str">
        <f t="shared" ref="O12:O18" si="4">L12&amp;" fields OR "&amp;M12&amp;" trans"</f>
        <v>3-5 fields OR 2 trans</v>
      </c>
      <c r="P12" s="38"/>
    </row>
    <row r="13" s="1" customFormat="1" spans="2:16">
      <c r="K13" s="36" t="s">
        <v>21</v>
      </c>
      <c r="L13" s="53" t="s">
        <v>33</v>
      </c>
      <c r="M13" s="37">
        <v>3</v>
      </c>
      <c r="N13" s="37">
        <v>90</v>
      </c>
      <c r="O13" s="38" t="str">
        <f t="shared" si="4"/>
        <v>6-7 fields OR 3 trans</v>
      </c>
      <c r="P13" s="38"/>
    </row>
    <row r="14" s="1" customFormat="1" ht="18.75" spans="2:16">
      <c r="B14" s="26" t="s">
        <v>34</v>
      </c>
      <c r="K14" s="36" t="s">
        <v>22</v>
      </c>
      <c r="L14" s="53" t="s">
        <v>35</v>
      </c>
      <c r="M14" s="37">
        <v>4</v>
      </c>
      <c r="N14" s="37">
        <v>120</v>
      </c>
      <c r="O14" s="38" t="str">
        <f t="shared" si="4"/>
        <v>8-9 fields OR 4 trans</v>
      </c>
      <c r="P14" s="38"/>
    </row>
    <row r="15" s="1" customFormat="1" spans="2:16">
      <c r="B15" s="39" t="s">
        <v>36</v>
      </c>
      <c r="K15" s="36" t="s">
        <v>23</v>
      </c>
      <c r="L15" s="54" t="s">
        <v>37</v>
      </c>
      <c r="M15" s="37">
        <v>5</v>
      </c>
      <c r="N15" s="37">
        <v>150</v>
      </c>
      <c r="O15" s="38" t="str">
        <f t="shared" si="4"/>
        <v>10-11 fields OR 5 trans</v>
      </c>
      <c r="P15" s="38"/>
    </row>
    <row r="16" s="1" customFormat="1" spans="2:16">
      <c r="B16" s="55" t="s">
        <v>38</v>
      </c>
      <c r="K16" s="36" t="s">
        <v>24</v>
      </c>
      <c r="L16" s="54" t="s">
        <v>39</v>
      </c>
      <c r="M16" s="37">
        <v>6</v>
      </c>
      <c r="N16" s="37">
        <v>180</v>
      </c>
      <c r="O16" s="38" t="str">
        <f t="shared" si="4"/>
        <v>12-13 fields OR 6 trans</v>
      </c>
      <c r="P16" s="38"/>
    </row>
    <row r="17" s="1" customFormat="1" spans="2:16">
      <c r="B17" s="56" t="s">
        <v>40</v>
      </c>
      <c r="K17" s="36" t="s">
        <v>25</v>
      </c>
      <c r="L17" s="54" t="s">
        <v>41</v>
      </c>
      <c r="M17" s="37">
        <v>7</v>
      </c>
      <c r="N17" s="37">
        <v>210</v>
      </c>
      <c r="O17" s="38" t="str">
        <f t="shared" si="4"/>
        <v>14-15 fields OR 7 trans</v>
      </c>
      <c r="P17" s="38"/>
    </row>
    <row r="18" s="1" customFormat="1" spans="2:16">
      <c r="B18" s="39" t="s">
        <v>42</v>
      </c>
      <c r="K18" s="36" t="s">
        <v>26</v>
      </c>
      <c r="L18" s="40" t="s">
        <v>43</v>
      </c>
      <c r="M18" s="37" t="s">
        <v>44</v>
      </c>
      <c r="N18" s="37">
        <v>240</v>
      </c>
      <c r="O18" s="38" t="str">
        <f t="shared" si="4"/>
        <v>&gt;15 fields OR &gt;7 trans</v>
      </c>
      <c r="P18" s="38"/>
    </row>
    <row r="19" s="1" customFormat="1" spans="2:16">
      <c r="B19" s="39" t="s">
        <v>45</v>
      </c>
      <c r="K19" s="1" t="s">
        <v>46</v>
      </c>
    </row>
    <row r="20" s="1" customFormat="1" spans="2:16">
      <c r="B20" s="42" t="s">
        <v>19</v>
      </c>
      <c r="C20" s="28" t="s">
        <v>20</v>
      </c>
      <c r="D20" s="29" t="s">
        <v>21</v>
      </c>
      <c r="E20" s="29" t="s">
        <v>22</v>
      </c>
      <c r="F20" s="29" t="s">
        <v>23</v>
      </c>
      <c r="G20" s="29" t="s">
        <v>24</v>
      </c>
      <c r="H20" s="29" t="s">
        <v>25</v>
      </c>
      <c r="I20" s="29" t="s">
        <v>26</v>
      </c>
    </row>
    <row r="21" s="1" customFormat="1" spans="2:16">
      <c r="B21" s="43" t="s">
        <v>47</v>
      </c>
      <c r="C21" s="37">
        <v>2</v>
      </c>
      <c r="D21" s="37">
        <v>3</v>
      </c>
      <c r="E21" s="37">
        <v>4</v>
      </c>
      <c r="F21" s="37">
        <v>5</v>
      </c>
      <c r="G21" s="37">
        <v>6</v>
      </c>
      <c r="H21" s="37">
        <v>7</v>
      </c>
      <c r="I21" s="37" t="s">
        <v>44</v>
      </c>
    </row>
    <row r="22" s="1" customFormat="1" spans="2:16">
      <c r="B22" s="43"/>
      <c r="C22" s="44" t="s">
        <v>48</v>
      </c>
      <c r="D22" s="44"/>
      <c r="E22" s="44"/>
      <c r="F22" s="44"/>
      <c r="G22" s="44"/>
      <c r="H22" s="44"/>
      <c r="I22" s="44"/>
    </row>
    <row r="23" s="1" customFormat="1" spans="2:16">
      <c r="B23" s="45" t="s">
        <v>49</v>
      </c>
      <c r="C23" s="57" t="s">
        <v>32</v>
      </c>
      <c r="D23" s="58" t="s">
        <v>33</v>
      </c>
      <c r="E23" s="57" t="s">
        <v>35</v>
      </c>
      <c r="F23" s="57" t="s">
        <v>37</v>
      </c>
      <c r="G23" s="57" t="s">
        <v>39</v>
      </c>
      <c r="H23" s="57" t="s">
        <v>41</v>
      </c>
      <c r="I23" s="57" t="s">
        <v>43</v>
      </c>
    </row>
    <row r="25" s="1" customFormat="1" ht="18.75" spans="2:16">
      <c r="B25" s="26" t="s">
        <v>50</v>
      </c>
    </row>
    <row r="26" s="1" customFormat="1" spans="2:16">
      <c r="B26" s="42" t="s">
        <v>27</v>
      </c>
      <c r="C26" s="28" t="s">
        <v>51</v>
      </c>
      <c r="D26" s="47" t="s">
        <v>4</v>
      </c>
      <c r="E26" s="47"/>
      <c r="F26" s="47"/>
      <c r="G26" s="47"/>
      <c r="H26" s="47"/>
      <c r="I26" s="47"/>
      <c r="J26" s="47"/>
      <c r="K26" s="47"/>
    </row>
    <row r="27" s="1" customFormat="1" spans="2:16">
      <c r="B27" s="48" t="s">
        <v>52</v>
      </c>
      <c r="C27" s="49">
        <v>0.5</v>
      </c>
      <c r="D27" s="38" t="s">
        <v>53</v>
      </c>
      <c r="E27" s="38"/>
      <c r="F27" s="38"/>
      <c r="G27" s="38"/>
      <c r="H27" s="38"/>
      <c r="I27" s="38"/>
      <c r="J27" s="38"/>
      <c r="K27" s="38"/>
    </row>
    <row r="28" s="1" customFormat="1" spans="2:16">
      <c r="B28" s="48" t="s">
        <v>54</v>
      </c>
      <c r="C28" s="49">
        <v>0.75</v>
      </c>
      <c r="D28" s="38" t="s">
        <v>55</v>
      </c>
      <c r="E28" s="38"/>
      <c r="F28" s="38"/>
      <c r="G28" s="38"/>
      <c r="H28" s="38"/>
      <c r="I28" s="38"/>
      <c r="J28" s="38"/>
      <c r="K28" s="38"/>
    </row>
    <row r="29" s="1" customFormat="1" ht="25.95" customHeight="1" spans="2:16">
      <c r="B29" s="48" t="s">
        <v>56</v>
      </c>
      <c r="C29" s="49">
        <v>1</v>
      </c>
      <c r="D29" s="50" t="s">
        <v>57</v>
      </c>
      <c r="E29" s="38"/>
      <c r="F29" s="38"/>
      <c r="G29" s="38"/>
      <c r="H29" s="38"/>
      <c r="I29" s="38"/>
      <c r="J29" s="38"/>
      <c r="K29" s="38"/>
    </row>
    <row r="31" s="1" customFormat="1" ht="18.75" spans="2:16">
      <c r="B31" s="51" t="s">
        <v>58</v>
      </c>
    </row>
    <row r="32" s="1" customFormat="1" spans="2:16">
      <c r="B32" s="52" t="s">
        <v>59</v>
      </c>
      <c r="K32" s="52" t="s">
        <v>60</v>
      </c>
    </row>
    <row r="45" s="1" customFormat="1" spans="2:2">
      <c r="B45" s="52" t="s">
        <v>61</v>
      </c>
    </row>
  </sheetData>
  <mergeCells count="22">
    <mergeCell ref="D1:F1"/>
    <mergeCell ref="H1:L1"/>
    <mergeCell ref="H2:L2"/>
    <mergeCell ref="H3:L3"/>
    <mergeCell ref="H4:L4"/>
    <mergeCell ref="H5:L5"/>
    <mergeCell ref="I6:L6"/>
    <mergeCell ref="I7:L7"/>
    <mergeCell ref="O11:P11"/>
    <mergeCell ref="O12:P12"/>
    <mergeCell ref="O13:P13"/>
    <mergeCell ref="O14:P14"/>
    <mergeCell ref="O15:P15"/>
    <mergeCell ref="O16:P16"/>
    <mergeCell ref="O17:P17"/>
    <mergeCell ref="O18:P18"/>
    <mergeCell ref="C22:I22"/>
    <mergeCell ref="D26:K26"/>
    <mergeCell ref="D27:K27"/>
    <mergeCell ref="D28:K28"/>
    <mergeCell ref="D29:K29"/>
    <mergeCell ref="B21:B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P</cp:lastModifiedBy>
  <dcterms:created xsi:type="dcterms:W3CDTF">2026-06-10T08:34:19Z</dcterms:created>
  <dcterms:modified xsi:type="dcterms:W3CDTF">2026-06-10T08:39:02Z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ED0DBA1FA7ED4286A05EFDE4E873C7A5_11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